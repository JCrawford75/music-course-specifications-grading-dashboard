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craw\Downloads\"/>
    </mc:Choice>
  </mc:AlternateContent>
  <xr:revisionPtr revIDLastSave="0" documentId="13_ncr:1_{8ADAAFAE-0FCF-4DBF-B64F-EC171BA2D17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shboard" sheetId="1" r:id="rId1"/>
    <sheet name="Assignment Tracker" sheetId="2" r:id="rId2"/>
    <sheet name="Instructions" sheetId="3" r:id="rId3"/>
    <sheet name="Instructor Setting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" l="1"/>
  <c r="D24" i="2"/>
  <c r="D21" i="2"/>
  <c r="D17" i="2"/>
  <c r="D14" i="2"/>
  <c r="D10" i="2"/>
  <c r="D7" i="2"/>
  <c r="E13" i="4"/>
  <c r="G29" i="2"/>
  <c r="H29" i="2" s="1"/>
  <c r="H28" i="2"/>
  <c r="I28" i="2" s="1"/>
  <c r="G28" i="2"/>
  <c r="I27" i="2"/>
  <c r="E27" i="2"/>
  <c r="I26" i="2"/>
  <c r="E26" i="2"/>
  <c r="I25" i="2"/>
  <c r="D25" i="2"/>
  <c r="G24" i="2"/>
  <c r="H24" i="2" s="1"/>
  <c r="I23" i="2"/>
  <c r="E23" i="2"/>
  <c r="I22" i="2"/>
  <c r="E22" i="2"/>
  <c r="G21" i="2"/>
  <c r="H21" i="2" s="1"/>
  <c r="I20" i="2"/>
  <c r="E20" i="2"/>
  <c r="I19" i="2"/>
  <c r="E19" i="2"/>
  <c r="I18" i="2"/>
  <c r="D18" i="2"/>
  <c r="G17" i="2"/>
  <c r="H17" i="2" s="1"/>
  <c r="I16" i="2"/>
  <c r="E16" i="2"/>
  <c r="I15" i="2"/>
  <c r="E15" i="2"/>
  <c r="I14" i="2"/>
  <c r="H14" i="2"/>
  <c r="G14" i="2"/>
  <c r="I13" i="2"/>
  <c r="E13" i="2"/>
  <c r="I12" i="2"/>
  <c r="E12" i="2"/>
  <c r="I11" i="2"/>
  <c r="D11" i="2"/>
  <c r="B5" i="1" s="1"/>
  <c r="G10" i="2"/>
  <c r="H10" i="2" s="1"/>
  <c r="I9" i="2"/>
  <c r="E9" i="2"/>
  <c r="I8" i="2"/>
  <c r="E8" i="2"/>
  <c r="G7" i="2"/>
  <c r="H7" i="2" s="1"/>
  <c r="I6" i="2"/>
  <c r="E6" i="2"/>
  <c r="I5" i="2"/>
  <c r="E5" i="2"/>
  <c r="I4" i="2"/>
  <c r="D4" i="2"/>
  <c r="I3" i="2"/>
  <c r="D3" i="2"/>
  <c r="I2" i="2"/>
  <c r="G2" i="2"/>
  <c r="D2" i="2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C8" i="1"/>
  <c r="C7" i="1"/>
  <c r="B7" i="1"/>
  <c r="E7" i="1" s="1"/>
  <c r="C6" i="1"/>
  <c r="B6" i="1"/>
  <c r="D6" i="1" s="1"/>
  <c r="C5" i="1"/>
  <c r="C4" i="1"/>
  <c r="F4" i="1" s="1"/>
  <c r="B4" i="1"/>
  <c r="D4" i="1" s="1"/>
  <c r="F6" i="1" l="1"/>
  <c r="F7" i="1"/>
  <c r="I24" i="2"/>
  <c r="I7" i="2"/>
  <c r="B8" i="1"/>
  <c r="I21" i="2"/>
  <c r="I17" i="2"/>
  <c r="I10" i="2"/>
  <c r="I29" i="2"/>
  <c r="D29" i="2"/>
  <c r="F5" i="1"/>
  <c r="E5" i="1"/>
  <c r="D5" i="1"/>
  <c r="E6" i="1"/>
  <c r="E4" i="1"/>
  <c r="D7" i="1"/>
  <c r="F8" i="1" l="1"/>
  <c r="E8" i="1"/>
  <c r="D8" i="1"/>
  <c r="B11" i="1"/>
  <c r="B12" i="1"/>
  <c r="H18" i="1" l="1"/>
  <c r="B10" i="1"/>
  <c r="H20" i="1"/>
  <c r="H19" i="1"/>
  <c r="H21" i="1"/>
</calcChain>
</file>

<file path=xl/sharedStrings.xml><?xml version="1.0" encoding="utf-8"?>
<sst xmlns="http://schemas.openxmlformats.org/spreadsheetml/2006/main" count="169" uniqueCount="122">
  <si>
    <t>Music in Society Specifications Grading Dashboard v1.3</t>
  </si>
  <si>
    <t>Requirement</t>
  </si>
  <si>
    <t>Current</t>
  </si>
  <si>
    <t>Goal for A</t>
  </si>
  <si>
    <t>Progress</t>
  </si>
  <si>
    <t>Status</t>
  </si>
  <si>
    <t>Still Needed</t>
  </si>
  <si>
    <t>Syllabus Quiz</t>
  </si>
  <si>
    <t>Discussion Boards</t>
  </si>
  <si>
    <t>Tutorials</t>
  </si>
  <si>
    <t>InQuizitives</t>
  </si>
  <si>
    <t>Unit Tests Passed</t>
  </si>
  <si>
    <t>Final Exam Status</t>
  </si>
  <si>
    <t>Current Eligible Grade</t>
  </si>
  <si>
    <t>A Requirements Met?</t>
  </si>
  <si>
    <t>Grade Ladder - All listed specifications must be met to earn that grade</t>
  </si>
  <si>
    <t>Grade</t>
  </si>
  <si>
    <t>Syllabus</t>
  </si>
  <si>
    <t>Discussions</t>
  </si>
  <si>
    <t>Tests Passed</t>
  </si>
  <si>
    <t>Final Exam</t>
  </si>
  <si>
    <t>Met?</t>
  </si>
  <si>
    <t>A</t>
  </si>
  <si>
    <t>Complete</t>
  </si>
  <si>
    <t>Exempt</t>
  </si>
  <si>
    <t>B</t>
  </si>
  <si>
    <t>&gt;=70%</t>
  </si>
  <si>
    <t>C</t>
  </si>
  <si>
    <t>D</t>
  </si>
  <si>
    <t>Note: This reusable template is driven by the Instructor Settings sheet. Students enter data only in yellow cells on the Assignment Tracker.</t>
  </si>
  <si>
    <t>Assignment</t>
  </si>
  <si>
    <t>Category</t>
  </si>
  <si>
    <t>Completed?</t>
  </si>
  <si>
    <t>Completed</t>
  </si>
  <si>
    <t>Possible</t>
  </si>
  <si>
    <t>Earned Points</t>
  </si>
  <si>
    <t>Possible Points</t>
  </si>
  <si>
    <t>Percentage</t>
  </si>
  <si>
    <t>Passed/Complete?</t>
  </si>
  <si>
    <t>Notes</t>
  </si>
  <si>
    <t>Syllabus Quiz (20/20 Required)</t>
  </si>
  <si>
    <t>Mark Complete after earning 20/20</t>
  </si>
  <si>
    <t>Introduction Discussion Board</t>
  </si>
  <si>
    <t>Discussion Board</t>
  </si>
  <si>
    <t>Discussion Board #1</t>
  </si>
  <si>
    <t>Unit 1 Tutorials</t>
  </si>
  <si>
    <t>Unit 1 InQuizitives</t>
  </si>
  <si>
    <t>Unit 1 Test</t>
  </si>
  <si>
    <t>Unit Tests</t>
  </si>
  <si>
    <t>Unit 2 Tutorials</t>
  </si>
  <si>
    <t>Unit 2 InQuizitives</t>
  </si>
  <si>
    <t>Unit 2 Test</t>
  </si>
  <si>
    <t>Discussion Board #2</t>
  </si>
  <si>
    <t>Unit 3 Tutorials</t>
  </si>
  <si>
    <t>Unit 3 InQuizitives</t>
  </si>
  <si>
    <t>Unit 3 Test</t>
  </si>
  <si>
    <t>Unit 4 Tutorials</t>
  </si>
  <si>
    <t>Instructor can set possible total</t>
  </si>
  <si>
    <t>Unit 4 InQuizitives</t>
  </si>
  <si>
    <t>Unit 4 Test</t>
  </si>
  <si>
    <t>Discussion Board #3</t>
  </si>
  <si>
    <t>Unit 5 Tutorials</t>
  </si>
  <si>
    <t>Unit 5 InQuizitives</t>
  </si>
  <si>
    <t>Unit 5 Test</t>
  </si>
  <si>
    <t>Unit 6 Tutorials</t>
  </si>
  <si>
    <t>Unit 6 InQuizitives</t>
  </si>
  <si>
    <t>Unit 6 Test</t>
  </si>
  <si>
    <t>Discussion Board #4</t>
  </si>
  <si>
    <t>Unit 7 Tutorials</t>
  </si>
  <si>
    <t>Unit 7 InQuizitives</t>
  </si>
  <si>
    <t>Unit 7 Test</t>
  </si>
  <si>
    <t>Only needed if not exempt</t>
  </si>
  <si>
    <t>How to Use This Tracker</t>
  </si>
  <si>
    <t>For Students</t>
  </si>
  <si>
    <t>Use the Assignment Tracker sheet. Enter information only in yellow cells.</t>
  </si>
  <si>
    <t>Yellow Cells</t>
  </si>
  <si>
    <t>Student/instructor editable input cells.</t>
  </si>
  <si>
    <t>Blue Cells</t>
  </si>
  <si>
    <t>Fixed course values pulled from Instructor Settings.</t>
  </si>
  <si>
    <t>Green Cells</t>
  </si>
  <si>
    <t>Automatically calculated values.</t>
  </si>
  <si>
    <t>Mark Yes only after earning 20/20.</t>
  </si>
  <si>
    <t>Mark Yes when completed.</t>
  </si>
  <si>
    <t>Tutorials/InQuizitives</t>
  </si>
  <si>
    <t>Enter the number completed for each unit. The dashboard adds them together.</t>
  </si>
  <si>
    <t>Enter earned points. Possible points are filled from Instructor Settings. Percentage and pass status calculate automatically.</t>
  </si>
  <si>
    <t>Only needed if the student is not exempt. Enter earned points if taken.</t>
  </si>
  <si>
    <t>For Instructors</t>
  </si>
  <si>
    <t>Use Instructor Settings to change required counts, unit totals, and point values.</t>
  </si>
  <si>
    <t>Important</t>
  </si>
  <si>
    <t>If the class adds more than 7 units, create a new tracker version with added rows/formulas.</t>
  </si>
  <si>
    <t>Instructor Settings - Edit Yellow Cells Only</t>
  </si>
  <si>
    <t>General Setting</t>
  </si>
  <si>
    <t>Value</t>
  </si>
  <si>
    <t>Unit</t>
  </si>
  <si>
    <t>Tutorials Possible</t>
  </si>
  <si>
    <t>InQuizitives Possible</t>
  </si>
  <si>
    <t>Syllabus Quiz Possible Points</t>
  </si>
  <si>
    <t>Discussion Boards Total</t>
  </si>
  <si>
    <t>Unit Tests Total</t>
  </si>
  <si>
    <t>Final Exam Possible Points</t>
  </si>
  <si>
    <t>Passing Percentage</t>
  </si>
  <si>
    <t>Tutorials Needed for A</t>
  </si>
  <si>
    <t>Tutorials Needed for B</t>
  </si>
  <si>
    <t>Tutorials Needed for C</t>
  </si>
  <si>
    <t>Unit Test Possible Points</t>
  </si>
  <si>
    <t>Tutorials Needed for D</t>
  </si>
  <si>
    <t>InQuizitives Needed for A</t>
  </si>
  <si>
    <t>InQuizitives Needed for B</t>
  </si>
  <si>
    <t>InQuizitives Needed for C</t>
  </si>
  <si>
    <t>InQuizitives Needed for D</t>
  </si>
  <si>
    <t>Discussion Boards Needed for A</t>
  </si>
  <si>
    <t>Discussion Boards Needed for B</t>
  </si>
  <si>
    <t>Discussion Boards Needed for C</t>
  </si>
  <si>
    <t>Discussion Boards Needed for D</t>
  </si>
  <si>
    <t>Unit Tests Needed for A</t>
  </si>
  <si>
    <t>Unit Tests Needed for B</t>
  </si>
  <si>
    <t>Unit Tests Needed for C</t>
  </si>
  <si>
    <t>Unit Tests Needed for D</t>
  </si>
  <si>
    <t>Change only yellow cells. The Dashboard and Assignment Tracker will update from these settings.</t>
  </si>
  <si>
    <t>Unit totals are optional for tracking total possible work; grade goals are controlled by the required counts above.</t>
  </si>
  <si>
    <t>If the course adds more than 7 units, a new tracker version should add rows/formulas for those units.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</si>
</sst>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name val="Carlito"/>
    </font>
    <font>
      <sz val="11"/>
      <color rgb="FFFFFFFF"/>
      <name val="Carlito"/>
    </font>
    <font>
      <b/>
      <sz val="14"/>
      <color rgb="FFFFFFFF"/>
      <name val="Carlito"/>
    </font>
    <font>
      <b/>
      <sz val="11"/>
      <color rgb="FF990000"/>
      <name val="Carlito"/>
    </font>
  </fonts>
  <fills count="20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1F4E4A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1F4E4A"/>
      </patternFill>
    </fill>
    <fill>
      <patternFill patternType="solid">
        <fgColor rgb="FF3E7772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DEDED"/>
      </patternFill>
    </fill>
    <fill>
      <patternFill patternType="solid">
        <fgColor rgb="FFB7B7B7"/>
      </patternFill>
    </fill>
    <fill>
      <patternFill patternType="solid">
        <fgColor rgb="FFFFA08E"/>
      </patternFill>
    </fill>
    <fill>
      <patternFill patternType="solid">
        <fgColor rgb="FFB7E89A"/>
      </patternFill>
    </fill>
    <fill>
      <patternFill patternType="solid">
        <fgColor rgb="FFFFF59D"/>
      </patternFill>
    </fill>
    <fill>
      <patternFill patternType="solid">
        <fgColor rgb="FF93E0DD"/>
      </patternFill>
    </fill>
    <fill>
      <patternFill patternType="solid">
        <fgColor rgb="FF8EC7E8"/>
      </patternFill>
    </fill>
    <fill>
      <patternFill patternType="solid">
        <fgColor rgb="FFFFD89B"/>
      </patternFill>
    </fill>
    <fill>
      <patternFill patternType="solid">
        <fgColor rgb="FFE2F0D9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9D1D3"/>
      </left>
      <right style="thin">
        <color rgb="FFC9D1D3"/>
      </right>
      <top style="thin">
        <color rgb="FFC9D1D3"/>
      </top>
      <bottom style="thin">
        <color rgb="FFC9D1D3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4" fillId="3" borderId="1" xfId="0" applyFont="1" applyFill="1" applyBorder="1"/>
    <xf numFmtId="0" fontId="0" fillId="0" borderId="0" xfId="0" applyAlignment="1">
      <alignment vertical="center"/>
    </xf>
    <xf numFmtId="0" fontId="1" fillId="7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8" borderId="2" xfId="0" applyFill="1" applyBorder="1" applyAlignment="1">
      <alignment vertical="center"/>
    </xf>
    <xf numFmtId="0" fontId="0" fillId="9" borderId="2" xfId="0" applyFill="1" applyBorder="1" applyAlignment="1">
      <alignment vertical="center"/>
    </xf>
    <xf numFmtId="9" fontId="0" fillId="8" borderId="2" xfId="0" applyNumberFormat="1" applyFill="1" applyBorder="1" applyAlignment="1">
      <alignment vertical="center"/>
    </xf>
    <xf numFmtId="0" fontId="1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1" fontId="0" fillId="8" borderId="2" xfId="0" applyNumberFormat="1" applyFill="1" applyBorder="1" applyAlignment="1">
      <alignment horizontal="center" vertical="center" wrapText="1"/>
    </xf>
    <xf numFmtId="1" fontId="0" fillId="9" borderId="2" xfId="0" applyNumberFormat="1" applyFill="1" applyBorder="1" applyAlignment="1">
      <alignment horizontal="center" vertical="center" wrapText="1"/>
    </xf>
    <xf numFmtId="9" fontId="0" fillId="18" borderId="2" xfId="0" applyNumberFormat="1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vertical="center" wrapText="1"/>
    </xf>
    <xf numFmtId="0" fontId="2" fillId="13" borderId="2" xfId="0" applyFont="1" applyFill="1" applyBorder="1" applyAlignment="1">
      <alignment vertical="center" wrapText="1"/>
    </xf>
    <xf numFmtId="0" fontId="2" fillId="14" borderId="2" xfId="0" applyFont="1" applyFill="1" applyBorder="1" applyAlignment="1">
      <alignment vertical="center" wrapText="1"/>
    </xf>
    <xf numFmtId="0" fontId="2" fillId="15" borderId="2" xfId="0" applyFont="1" applyFill="1" applyBorder="1" applyAlignment="1">
      <alignment vertical="center" wrapText="1"/>
    </xf>
    <xf numFmtId="0" fontId="2" fillId="16" borderId="2" xfId="0" applyFont="1" applyFill="1" applyBorder="1" applyAlignment="1">
      <alignment vertical="center" wrapText="1"/>
    </xf>
    <xf numFmtId="0" fontId="2" fillId="17" borderId="2" xfId="0" applyFont="1" applyFill="1" applyBorder="1" applyAlignment="1">
      <alignment vertical="center" wrapText="1"/>
    </xf>
    <xf numFmtId="1" fontId="0" fillId="18" borderId="2" xfId="0" applyNumberFormat="1" applyFill="1" applyBorder="1" applyAlignment="1">
      <alignment horizontal="center" vertical="center" wrapText="1"/>
    </xf>
    <xf numFmtId="1" fontId="0" fillId="10" borderId="2" xfId="0" applyNumberFormat="1" applyFill="1" applyBorder="1" applyAlignment="1">
      <alignment horizontal="center" vertical="center" wrapText="1"/>
    </xf>
    <xf numFmtId="9" fontId="0" fillId="10" borderId="2" xfId="0" applyNumberForma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vertical="center"/>
    </xf>
    <xf numFmtId="0" fontId="2" fillId="9" borderId="2" xfId="0" applyFont="1" applyFill="1" applyBorder="1" applyAlignment="1">
      <alignment vertical="center"/>
    </xf>
    <xf numFmtId="0" fontId="6" fillId="19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wrapText="1"/>
    </xf>
    <xf numFmtId="0" fontId="0" fillId="10" borderId="2" xfId="0" applyFill="1" applyBorder="1" applyAlignment="1">
      <alignment wrapText="1"/>
    </xf>
    <xf numFmtId="0" fontId="1" fillId="9" borderId="2" xfId="0" applyFont="1" applyFill="1" applyBorder="1" applyAlignment="1">
      <alignment wrapText="1"/>
    </xf>
    <xf numFmtId="0" fontId="1" fillId="10" borderId="2" xfId="0" applyFont="1" applyFill="1" applyBorder="1" applyAlignment="1">
      <alignment wrapText="1"/>
    </xf>
    <xf numFmtId="0" fontId="5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</cellXfs>
  <cellStyles count="1">
    <cellStyle name="Normal" xfId="0" builtinId="0"/>
  </cellStyles>
  <dxfs count="22">
    <dxf>
      <font>
        <b/>
        <color rgb="FF00610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color rgb="FF1F4E79"/>
      </font>
      <fill>
        <patternFill>
          <bgColor rgb="FFDDEBF7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color rgb="FF1F4E79"/>
      </font>
      <fill>
        <patternFill>
          <bgColor rgb="FFDDEBF7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sqref="A1:H1"/>
    </sheetView>
  </sheetViews>
  <sheetFormatPr defaultRowHeight="15" x14ac:dyDescent="0.25"/>
  <cols>
    <col min="1" max="1" width="25" customWidth="1"/>
    <col min="2" max="6" width="16" customWidth="1"/>
    <col min="7" max="8" width="14" customWidth="1"/>
  </cols>
  <sheetData>
    <row r="1" spans="1:8" ht="57.6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</row>
    <row r="2" spans="1:8" ht="15" customHeight="1" x14ac:dyDescent="0.25">
      <c r="A2" s="29"/>
      <c r="B2" s="29"/>
      <c r="C2" s="29"/>
      <c r="D2" s="29"/>
      <c r="E2" s="29"/>
      <c r="F2" s="29"/>
      <c r="G2" s="29"/>
      <c r="H2" s="29"/>
    </row>
    <row r="3" spans="1:8" ht="15" customHeight="1" x14ac:dyDescent="0.25">
      <c r="A3" s="28" t="s">
        <v>1</v>
      </c>
      <c r="B3" s="28" t="s">
        <v>2</v>
      </c>
      <c r="C3" s="28" t="s">
        <v>3</v>
      </c>
      <c r="D3" s="28" t="s">
        <v>4</v>
      </c>
      <c r="E3" s="28" t="s">
        <v>5</v>
      </c>
      <c r="F3" s="28" t="s">
        <v>6</v>
      </c>
      <c r="G3" s="29"/>
      <c r="H3" s="29"/>
    </row>
    <row r="4" spans="1:8" ht="15" customHeight="1" x14ac:dyDescent="0.25">
      <c r="A4" s="7" t="s">
        <v>7</v>
      </c>
      <c r="B4" s="30">
        <f>'Assignment Tracker'!D2</f>
        <v>0</v>
      </c>
      <c r="C4" s="30">
        <f>1</f>
        <v>1</v>
      </c>
      <c r="D4" s="31">
        <f>IFERROR(MIN(1,B4/C4),0)</f>
        <v>0</v>
      </c>
      <c r="E4" s="7" t="str">
        <f>IF(B4&gt;=C4,"Met","Needed")</f>
        <v>Needed</v>
      </c>
      <c r="F4" s="30">
        <f>MAX(0,C4-B4)</f>
        <v>1</v>
      </c>
      <c r="G4" s="29"/>
      <c r="H4" s="29"/>
    </row>
    <row r="5" spans="1:8" ht="15" customHeight="1" x14ac:dyDescent="0.25">
      <c r="A5" s="7" t="s">
        <v>8</v>
      </c>
      <c r="B5" s="30">
        <f>SUMIF('Assignment Tracker'!B:B,"Discussion Board",'Assignment Tracker'!D:D)</f>
        <v>0</v>
      </c>
      <c r="C5" s="30">
        <f>'Instructor Settings'!$B$20</f>
        <v>5</v>
      </c>
      <c r="D5" s="31">
        <f>IFERROR(MIN(1,B5/C5),0)</f>
        <v>0</v>
      </c>
      <c r="E5" s="7" t="str">
        <f>IF(B5&gt;=C5,"Met","Needed")</f>
        <v>Needed</v>
      </c>
      <c r="F5" s="30">
        <f>MAX(0,C5-B5)</f>
        <v>5</v>
      </c>
      <c r="G5" s="29"/>
      <c r="H5" s="29"/>
    </row>
    <row r="6" spans="1:8" ht="15" customHeight="1" x14ac:dyDescent="0.25">
      <c r="A6" s="7" t="s">
        <v>9</v>
      </c>
      <c r="B6" s="30">
        <f>SUMIF('Assignment Tracker'!B:B,"Tutorials",'Assignment Tracker'!D:D)</f>
        <v>0</v>
      </c>
      <c r="C6" s="30">
        <f>'Instructor Settings'!$B$10</f>
        <v>25</v>
      </c>
      <c r="D6" s="31">
        <f>IFERROR(MIN(1,B6/C6),0)</f>
        <v>0</v>
      </c>
      <c r="E6" s="7" t="str">
        <f>IF(B6&gt;=C6,"Met","Needed")</f>
        <v>Needed</v>
      </c>
      <c r="F6" s="30">
        <f>MAX(0,C6-B6)</f>
        <v>25</v>
      </c>
      <c r="G6" s="29"/>
      <c r="H6" s="29"/>
    </row>
    <row r="7" spans="1:8" ht="15" customHeight="1" x14ac:dyDescent="0.25">
      <c r="A7" s="7" t="s">
        <v>10</v>
      </c>
      <c r="B7" s="30">
        <f>SUMIF('Assignment Tracker'!B:B,"InQuizitives",'Assignment Tracker'!D:D)</f>
        <v>0</v>
      </c>
      <c r="C7" s="30">
        <f>'Instructor Settings'!$B$15</f>
        <v>25</v>
      </c>
      <c r="D7" s="31">
        <f>IFERROR(MIN(1,B7/C7),0)</f>
        <v>0</v>
      </c>
      <c r="E7" s="7" t="str">
        <f>IF(B7&gt;=C7,"Met","Needed")</f>
        <v>Needed</v>
      </c>
      <c r="F7" s="30">
        <f>MAX(0,C7-B7)</f>
        <v>25</v>
      </c>
      <c r="G7" s="29"/>
      <c r="H7" s="29"/>
    </row>
    <row r="8" spans="1:8" ht="15" customHeight="1" x14ac:dyDescent="0.25">
      <c r="A8" s="7" t="s">
        <v>11</v>
      </c>
      <c r="B8" s="30">
        <f>SUMIF('Assignment Tracker'!B:B,"Unit Tests",'Assignment Tracker'!D:D)</f>
        <v>0</v>
      </c>
      <c r="C8" s="30">
        <f>'Instructor Settings'!$B$25</f>
        <v>7</v>
      </c>
      <c r="D8" s="31">
        <f>IFERROR(MIN(1,B8/C8),0)</f>
        <v>0</v>
      </c>
      <c r="E8" s="7" t="str">
        <f>IF(B8&gt;=C8,"Met","Needed")</f>
        <v>Needed</v>
      </c>
      <c r="F8" s="30">
        <f>MAX(0,C8-B8)</f>
        <v>7</v>
      </c>
      <c r="G8" s="29"/>
      <c r="H8" s="29"/>
    </row>
    <row r="9" spans="1:8" ht="15" customHeight="1" x14ac:dyDescent="0.25">
      <c r="A9" s="29"/>
      <c r="B9" s="29"/>
      <c r="C9" s="29"/>
      <c r="D9" s="29"/>
      <c r="E9" s="29"/>
      <c r="F9" s="29"/>
      <c r="G9" s="29"/>
      <c r="H9" s="29"/>
    </row>
    <row r="10" spans="1:8" ht="15" customHeight="1" x14ac:dyDescent="0.25">
      <c r="A10" s="32" t="s">
        <v>12</v>
      </c>
      <c r="B10" s="33" t="str">
        <f>IF(B12="YES","EXEMPT",IF('Assignment Tracker'!D29=1,"PASSED","NOT YET EXEMPT"))</f>
        <v>PASSED</v>
      </c>
      <c r="C10" s="29"/>
      <c r="D10" s="29"/>
      <c r="E10" s="29"/>
      <c r="F10" s="29"/>
      <c r="G10" s="29"/>
      <c r="H10" s="29"/>
    </row>
    <row r="11" spans="1:8" ht="15" customHeight="1" x14ac:dyDescent="0.25">
      <c r="A11" s="32" t="s">
        <v>13</v>
      </c>
      <c r="B11" s="33" t="str">
        <f>IF(AND($B$4&gt;=1,$B$5&gt;='Instructor Settings'!$B$20,$B$6&gt;='Instructor Settings'!$B$10,$B$7&gt;='Instructor Settings'!$B$15,$B$8&gt;='Instructor Settings'!$B$25),"A",IF(AND($B$4&gt;=1,$B$5&gt;='Instructor Settings'!$B$21,$B$6&gt;='Instructor Settings'!$B$11,$B$7&gt;='Instructor Settings'!$B$16,$B$8&gt;='Instructor Settings'!$B$26,'Assignment Tracker'!$D$29&gt;=1),"B",IF(AND($B$4&gt;=1,$B$5&gt;='Instructor Settings'!$B$22,$B$6&gt;='Instructor Settings'!$B$12,$B$7&gt;='Instructor Settings'!$B$17,$B$8&gt;='Instructor Settings'!$B$27,'Assignment Tracker'!$D$29&gt;=1),"C",IF(AND($B$4&gt;=1,$B$5&gt;='Instructor Settings'!$B$23,$B$6&gt;='Instructor Settings'!$B$13,$B$7&gt;='Instructor Settings'!$B$18,$B$8&gt;='Instructor Settings'!$B$28,'Assignment Tracker'!$D$29&gt;=1),"D","F"))))</f>
        <v>F</v>
      </c>
      <c r="C11" s="29"/>
      <c r="D11" s="29"/>
      <c r="E11" s="29"/>
      <c r="F11" s="29"/>
      <c r="G11" s="29"/>
      <c r="H11" s="29"/>
    </row>
    <row r="12" spans="1:8" ht="15" customHeight="1" x14ac:dyDescent="0.25">
      <c r="A12" s="32" t="s">
        <v>14</v>
      </c>
      <c r="B12" s="33" t="str">
        <f>IF(AND($B$4&gt;=1,$B$5&gt;='Instructor Settings'!$B$20,$B$6&gt;='Instructor Settings'!$B$10,$B$7&gt;='Instructor Settings'!$B$15,$B$8&gt;='Instructor Settings'!$B$25),"YES","NO")</f>
        <v>NO</v>
      </c>
      <c r="C12" s="29"/>
      <c r="D12" s="29"/>
      <c r="E12" s="29"/>
      <c r="F12" s="29"/>
      <c r="G12" s="29"/>
      <c r="H12" s="29"/>
    </row>
    <row r="13" spans="1:8" ht="15" customHeight="1" x14ac:dyDescent="0.25">
      <c r="A13" s="29"/>
      <c r="B13" s="29"/>
      <c r="C13" s="29"/>
      <c r="D13" s="29"/>
      <c r="E13" s="29"/>
      <c r="F13" s="29"/>
      <c r="G13" s="29"/>
      <c r="H13" s="29"/>
    </row>
    <row r="14" spans="1:8" ht="15" customHeight="1" x14ac:dyDescent="0.25">
      <c r="A14" s="29"/>
      <c r="B14" s="29"/>
      <c r="C14" s="29"/>
      <c r="D14" s="29"/>
      <c r="E14" s="29"/>
      <c r="F14" s="29"/>
      <c r="G14" s="29"/>
      <c r="H14" s="29"/>
    </row>
    <row r="15" spans="1:8" ht="39.6" customHeight="1" x14ac:dyDescent="0.25">
      <c r="A15" s="39" t="s">
        <v>15</v>
      </c>
      <c r="B15" s="39"/>
      <c r="C15" s="39"/>
      <c r="D15" s="39"/>
      <c r="E15" s="39"/>
      <c r="F15" s="39"/>
      <c r="G15" s="39"/>
      <c r="H15" s="39"/>
    </row>
    <row r="16" spans="1:8" ht="15" customHeight="1" x14ac:dyDescent="0.25">
      <c r="A16" s="29"/>
      <c r="B16" s="29"/>
      <c r="C16" s="29"/>
      <c r="D16" s="29"/>
      <c r="E16" s="29"/>
      <c r="F16" s="29"/>
      <c r="G16" s="29"/>
      <c r="H16" s="29"/>
    </row>
    <row r="17" spans="1:8" ht="15" customHeight="1" x14ac:dyDescent="0.25">
      <c r="A17" s="28" t="s">
        <v>16</v>
      </c>
      <c r="B17" s="28" t="s">
        <v>17</v>
      </c>
      <c r="C17" s="28" t="s">
        <v>18</v>
      </c>
      <c r="D17" s="28" t="s">
        <v>9</v>
      </c>
      <c r="E17" s="28" t="s">
        <v>10</v>
      </c>
      <c r="F17" s="28" t="s">
        <v>19</v>
      </c>
      <c r="G17" s="28" t="s">
        <v>20</v>
      </c>
      <c r="H17" s="28" t="s">
        <v>21</v>
      </c>
    </row>
    <row r="18" spans="1:8" ht="15" customHeight="1" x14ac:dyDescent="0.25">
      <c r="A18" s="7" t="s">
        <v>22</v>
      </c>
      <c r="B18" s="7" t="s">
        <v>23</v>
      </c>
      <c r="C18" s="7">
        <f>'Instructor Settings'!$B$20</f>
        <v>5</v>
      </c>
      <c r="D18" s="7">
        <f>'Instructor Settings'!$B$10</f>
        <v>25</v>
      </c>
      <c r="E18" s="7">
        <f>'Instructor Settings'!$B$15</f>
        <v>25</v>
      </c>
      <c r="F18" s="7">
        <f>'Instructor Settings'!$B$25</f>
        <v>7</v>
      </c>
      <c r="G18" s="7" t="s">
        <v>24</v>
      </c>
      <c r="H18" s="7" t="str">
        <f>IF(B12="YES","YES","NO")</f>
        <v>NO</v>
      </c>
    </row>
    <row r="19" spans="1:8" ht="15" customHeight="1" x14ac:dyDescent="0.25">
      <c r="A19" s="7" t="s">
        <v>25</v>
      </c>
      <c r="B19" s="7" t="s">
        <v>23</v>
      </c>
      <c r="C19" s="7">
        <f>'Instructor Settings'!$B$21</f>
        <v>4</v>
      </c>
      <c r="D19" s="7">
        <f>'Instructor Settings'!$B$11</f>
        <v>20</v>
      </c>
      <c r="E19" s="7">
        <f>'Instructor Settings'!$B$16</f>
        <v>20</v>
      </c>
      <c r="F19" s="7">
        <f>'Instructor Settings'!$B$26</f>
        <v>6</v>
      </c>
      <c r="G19" s="7" t="s">
        <v>26</v>
      </c>
      <c r="H19" s="7" t="str">
        <f>IF(OR(B12="YES",AND($B$4&gt;=1,$B$5&gt;='Instructor Settings'!$B$21,$B$6&gt;='Instructor Settings'!$B$11,$B$7&gt;='Instructor Settings'!$B$16,$B$8&gt;='Instructor Settings'!$B$26,'Assignment Tracker'!$D$29&gt;=1)),"YES","NO")</f>
        <v>NO</v>
      </c>
    </row>
    <row r="20" spans="1:8" ht="15" customHeight="1" x14ac:dyDescent="0.25">
      <c r="A20" s="7" t="s">
        <v>27</v>
      </c>
      <c r="B20" s="7" t="s">
        <v>23</v>
      </c>
      <c r="C20" s="7">
        <f>'Instructor Settings'!$B$22</f>
        <v>3</v>
      </c>
      <c r="D20" s="7">
        <f>'Instructor Settings'!$B$12</f>
        <v>15</v>
      </c>
      <c r="E20" s="7">
        <f>'Instructor Settings'!$B$17</f>
        <v>15</v>
      </c>
      <c r="F20" s="7">
        <f>'Instructor Settings'!$B$27</f>
        <v>5</v>
      </c>
      <c r="G20" s="7" t="s">
        <v>26</v>
      </c>
      <c r="H20" s="7" t="str">
        <f>IF(OR(B12="YES",AND($B$4&gt;=1,$B$5&gt;='Instructor Settings'!$B$22,$B$6&gt;='Instructor Settings'!$B$12,$B$7&gt;='Instructor Settings'!$B$17,$B$8&gt;='Instructor Settings'!$B$27,'Assignment Tracker'!$D$29&gt;=1)),"YES","NO")</f>
        <v>NO</v>
      </c>
    </row>
    <row r="21" spans="1:8" ht="15" customHeight="1" x14ac:dyDescent="0.25">
      <c r="A21" s="7" t="s">
        <v>28</v>
      </c>
      <c r="B21" s="7" t="s">
        <v>23</v>
      </c>
      <c r="C21" s="7">
        <f>'Instructor Settings'!$B$23</f>
        <v>2</v>
      </c>
      <c r="D21" s="7">
        <f>'Instructor Settings'!$B$13</f>
        <v>10</v>
      </c>
      <c r="E21" s="7">
        <f>'Instructor Settings'!$B$18</f>
        <v>10</v>
      </c>
      <c r="F21" s="7">
        <f>'Instructor Settings'!$B$28</f>
        <v>4</v>
      </c>
      <c r="G21" s="7" t="s">
        <v>26</v>
      </c>
      <c r="H21" s="7" t="str">
        <f>IF(OR(B12="YES",AND($B$4&gt;=1,$B$5&gt;='Instructor Settings'!$B$23,$B$6&gt;='Instructor Settings'!$B$13,$B$7&gt;='Instructor Settings'!$B$18,$B$8&gt;='Instructor Settings'!$B$28,'Assignment Tracker'!$D$29&gt;=1)),"YES","NO")</f>
        <v>NO</v>
      </c>
    </row>
    <row r="22" spans="1:8" ht="15" customHeight="1" x14ac:dyDescent="0.25">
      <c r="A22" s="29"/>
      <c r="B22" s="29"/>
      <c r="C22" s="29"/>
      <c r="D22" s="29"/>
      <c r="E22" s="29"/>
      <c r="F22" s="29"/>
      <c r="G22" s="29"/>
      <c r="H22" s="29"/>
    </row>
    <row r="23" spans="1:8" ht="79.150000000000006" customHeight="1" x14ac:dyDescent="0.25">
      <c r="A23" s="40" t="s">
        <v>29</v>
      </c>
      <c r="B23" s="40"/>
      <c r="C23" s="40"/>
      <c r="D23" s="40"/>
      <c r="E23" s="40"/>
      <c r="F23" s="40"/>
      <c r="G23" s="40"/>
      <c r="H23" s="40"/>
    </row>
  </sheetData>
  <mergeCells count="3">
    <mergeCell ref="A1:H1"/>
    <mergeCell ref="A15:H15"/>
    <mergeCell ref="A23:H23"/>
  </mergeCells>
  <conditionalFormatting sqref="B10:B12">
    <cfRule type="expression" dxfId="21" priority="4">
      <formula>B10="EXEMPT"</formula>
    </cfRule>
    <cfRule type="expression" dxfId="20" priority="5">
      <formula>B12="YES"</formula>
    </cfRule>
  </conditionalFormatting>
  <conditionalFormatting sqref="D4:D8">
    <cfRule type="dataBar" priority="1">
      <dataBar>
        <cfvo type="min"/>
        <cfvo type="max"/>
        <color rgb="FF6AA84F"/>
      </dataBar>
    </cfRule>
    <cfRule type="dataBar" priority="8">
      <dataBar>
        <cfvo type="min"/>
        <cfvo type="max"/>
        <color rgb="FF6AA84F"/>
      </dataBar>
    </cfRule>
    <cfRule type="dataBar" priority="13">
      <dataBar>
        <cfvo type="min"/>
        <cfvo type="max"/>
        <color rgb="FF6AA84F"/>
      </dataBar>
    </cfRule>
    <cfRule type="dataBar" priority="14">
      <dataBar>
        <cfvo type="min"/>
        <cfvo type="max"/>
        <color rgb="FF6AA84F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conditionalFormatting sqref="E4:E8">
    <cfRule type="expression" dxfId="19" priority="2">
      <formula>E4="Met"</formula>
    </cfRule>
    <cfRule type="expression" dxfId="18" priority="3">
      <formula>E4="Needed"</formula>
    </cfRule>
    <cfRule type="expression" dxfId="17" priority="9">
      <formula>E4="Met"</formula>
    </cfRule>
    <cfRule type="expression" dxfId="16" priority="10">
      <formula>E4="Needed"</formula>
    </cfRule>
  </conditionalFormatting>
  <conditionalFormatting sqref="H18:H21">
    <cfRule type="expression" dxfId="15" priority="6">
      <formula>H18="YES"</formula>
    </cfRule>
    <cfRule type="expression" dxfId="14" priority="7">
      <formula>H18="NO"</formula>
    </cfRule>
    <cfRule type="expression" dxfId="13" priority="11">
      <formula>H18="YES"</formula>
    </cfRule>
    <cfRule type="expression" dxfId="12" priority="12">
      <formula>H18="NO"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D4:D8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workbookViewId="0">
      <selection activeCell="C35" sqref="C35"/>
    </sheetView>
  </sheetViews>
  <sheetFormatPr defaultRowHeight="15" x14ac:dyDescent="0.25"/>
  <cols>
    <col min="1" max="1" width="34" customWidth="1"/>
    <col min="2" max="2" width="18" customWidth="1"/>
    <col min="3" max="3" width="14" customWidth="1"/>
    <col min="4" max="5" width="12" customWidth="1"/>
    <col min="6" max="8" width="14" customWidth="1"/>
    <col min="9" max="9" width="18" customWidth="1"/>
    <col min="10" max="10" width="32" customWidth="1"/>
  </cols>
  <sheetData>
    <row r="1" spans="1:10" ht="15" customHeight="1" x14ac:dyDescent="0.25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  <c r="G1" s="11" t="s">
        <v>36</v>
      </c>
      <c r="H1" s="11" t="s">
        <v>37</v>
      </c>
      <c r="I1" s="11" t="s">
        <v>38</v>
      </c>
      <c r="J1" s="11" t="s">
        <v>39</v>
      </c>
    </row>
    <row r="2" spans="1:10" ht="15" customHeight="1" x14ac:dyDescent="0.25">
      <c r="A2" s="12" t="s">
        <v>40</v>
      </c>
      <c r="B2" s="13" t="s">
        <v>7</v>
      </c>
      <c r="C2" s="14"/>
      <c r="D2" s="25">
        <f>IF(C2="Yes",1,0)</f>
        <v>0</v>
      </c>
      <c r="E2" s="16">
        <v>1</v>
      </c>
      <c r="F2" s="26"/>
      <c r="G2" s="16">
        <f>'Instructor Settings'!$B$4</f>
        <v>20</v>
      </c>
      <c r="H2" s="27"/>
      <c r="I2" s="18" t="str">
        <f>IF(C2="Yes","Complete","Needed")</f>
        <v>Needed</v>
      </c>
      <c r="J2" s="19" t="s">
        <v>41</v>
      </c>
    </row>
    <row r="3" spans="1:10" ht="15" customHeight="1" x14ac:dyDescent="0.25">
      <c r="A3" s="20" t="s">
        <v>42</v>
      </c>
      <c r="B3" s="13" t="s">
        <v>43</v>
      </c>
      <c r="C3" s="14"/>
      <c r="D3" s="25">
        <f>IF(C3="Yes",1,0)</f>
        <v>0</v>
      </c>
      <c r="E3" s="16">
        <v>1</v>
      </c>
      <c r="F3" s="26"/>
      <c r="G3" s="16"/>
      <c r="H3" s="27"/>
      <c r="I3" s="18" t="str">
        <f>IF(C3="Yes","Complete","Needed")</f>
        <v>Needed</v>
      </c>
      <c r="J3" s="19"/>
    </row>
    <row r="4" spans="1:10" ht="15" customHeight="1" x14ac:dyDescent="0.25">
      <c r="A4" s="20" t="s">
        <v>44</v>
      </c>
      <c r="B4" s="13" t="s">
        <v>43</v>
      </c>
      <c r="C4" s="14"/>
      <c r="D4" s="25">
        <f>IF(C4="Yes",1,0)</f>
        <v>0</v>
      </c>
      <c r="E4" s="16">
        <v>1</v>
      </c>
      <c r="F4" s="26"/>
      <c r="G4" s="16"/>
      <c r="H4" s="27"/>
      <c r="I4" s="18" t="str">
        <f>IF(C4="Yes","Complete","Needed")</f>
        <v>Needed</v>
      </c>
      <c r="J4" s="19"/>
    </row>
    <row r="5" spans="1:10" ht="15" customHeight="1" x14ac:dyDescent="0.25">
      <c r="A5" s="21" t="s">
        <v>45</v>
      </c>
      <c r="B5" s="13" t="s">
        <v>9</v>
      </c>
      <c r="C5" s="14"/>
      <c r="D5" s="15"/>
      <c r="E5" s="16">
        <f>IF('Instructor Settings'!$E$4="","",'Instructor Settings'!$E$4)</f>
        <v>13</v>
      </c>
      <c r="F5" s="26"/>
      <c r="G5" s="16"/>
      <c r="H5" s="27"/>
      <c r="I5" s="18" t="str">
        <f>IF(D5="","",IF(D5&gt;E5,"Check Total","Entered"))</f>
        <v/>
      </c>
      <c r="J5" s="19"/>
    </row>
    <row r="6" spans="1:10" ht="15" customHeight="1" x14ac:dyDescent="0.25">
      <c r="A6" s="22" t="s">
        <v>46</v>
      </c>
      <c r="B6" s="13" t="s">
        <v>10</v>
      </c>
      <c r="C6" s="14"/>
      <c r="D6" s="15"/>
      <c r="E6" s="16">
        <f>IF('Instructor Settings'!$F$4="","",'Instructor Settings'!$F$4)</f>
        <v>14</v>
      </c>
      <c r="F6" s="26"/>
      <c r="G6" s="16"/>
      <c r="H6" s="27"/>
      <c r="I6" s="18" t="str">
        <f>IF(D6="","",IF(D6&gt;E6,"Check Total","Entered"))</f>
        <v/>
      </c>
      <c r="J6" s="19"/>
    </row>
    <row r="7" spans="1:10" ht="15" customHeight="1" x14ac:dyDescent="0.25">
      <c r="A7" s="23" t="s">
        <v>47</v>
      </c>
      <c r="B7" s="13" t="s">
        <v>48</v>
      </c>
      <c r="C7" s="14"/>
      <c r="D7" s="25">
        <f>IF(AND(F17&lt;&gt;"",H17&gt;='Instructor Settings'!$B$8),1,0)</f>
        <v>0</v>
      </c>
      <c r="E7" s="16">
        <v>1</v>
      </c>
      <c r="F7" s="15"/>
      <c r="G7" s="16">
        <f>'Instructor Settings'!$E$12</f>
        <v>35</v>
      </c>
      <c r="H7" s="17" t="str">
        <f>IF(OR(F7="",G7=""),"",F7/G7)</f>
        <v/>
      </c>
      <c r="I7" s="18" t="str">
        <f>IF(H7="","",IF(H7&gt;='Instructor Settings'!$B$8,"Pass","Retry"))</f>
        <v/>
      </c>
      <c r="J7" s="19"/>
    </row>
    <row r="8" spans="1:10" ht="15" customHeight="1" x14ac:dyDescent="0.25">
      <c r="A8" s="21" t="s">
        <v>49</v>
      </c>
      <c r="B8" s="13" t="s">
        <v>9</v>
      </c>
      <c r="C8" s="14"/>
      <c r="D8" s="15"/>
      <c r="E8" s="16">
        <f>IF('Instructor Settings'!$E$5="","",'Instructor Settings'!$E$5)</f>
        <v>10</v>
      </c>
      <c r="F8" s="26"/>
      <c r="G8" s="16"/>
      <c r="H8" s="27"/>
      <c r="I8" s="18" t="str">
        <f>IF(D8="","",IF(D8&gt;E8,"Check Total","Entered"))</f>
        <v/>
      </c>
      <c r="J8" s="19"/>
    </row>
    <row r="9" spans="1:10" ht="15" customHeight="1" x14ac:dyDescent="0.25">
      <c r="A9" s="22" t="s">
        <v>50</v>
      </c>
      <c r="B9" s="13" t="s">
        <v>10</v>
      </c>
      <c r="C9" s="14"/>
      <c r="D9" s="15"/>
      <c r="E9" s="16">
        <f>IF('Instructor Settings'!$F$5="","",'Instructor Settings'!$F$5)</f>
        <v>9</v>
      </c>
      <c r="F9" s="26"/>
      <c r="G9" s="16"/>
      <c r="H9" s="27"/>
      <c r="I9" s="18" t="str">
        <f>IF(D9="","",IF(D9&gt;E9,"Check Total","Entered"))</f>
        <v/>
      </c>
      <c r="J9" s="19"/>
    </row>
    <row r="10" spans="1:10" ht="15" customHeight="1" x14ac:dyDescent="0.25">
      <c r="A10" s="23" t="s">
        <v>51</v>
      </c>
      <c r="B10" s="13" t="s">
        <v>48</v>
      </c>
      <c r="C10" s="14"/>
      <c r="D10" s="25">
        <f>IF(AND(F17&lt;&gt;"",H17&gt;='Instructor Settings'!$B$8),1,0)</f>
        <v>0</v>
      </c>
      <c r="E10" s="16">
        <v>1</v>
      </c>
      <c r="F10" s="15"/>
      <c r="G10" s="16">
        <f>'Instructor Settings'!$E$12</f>
        <v>35</v>
      </c>
      <c r="H10" s="17" t="str">
        <f>IF(OR(F10="",G10=""),"",F10/G10)</f>
        <v/>
      </c>
      <c r="I10" s="18" t="str">
        <f>IF(H10="","",IF(H10&gt;='Instructor Settings'!$B$8,"Pass","Retry"))</f>
        <v/>
      </c>
      <c r="J10" s="19"/>
    </row>
    <row r="11" spans="1:10" ht="15" customHeight="1" x14ac:dyDescent="0.25">
      <c r="A11" s="20" t="s">
        <v>52</v>
      </c>
      <c r="B11" s="13" t="s">
        <v>43</v>
      </c>
      <c r="C11" s="14"/>
      <c r="D11" s="25">
        <f>IF(C11="Yes",1,0)</f>
        <v>0</v>
      </c>
      <c r="E11" s="16">
        <v>1</v>
      </c>
      <c r="F11" s="26"/>
      <c r="G11" s="16"/>
      <c r="H11" s="27"/>
      <c r="I11" s="18" t="str">
        <f>IF(C11="Yes","Complete","Needed")</f>
        <v>Needed</v>
      </c>
      <c r="J11" s="19"/>
    </row>
    <row r="12" spans="1:10" ht="15" customHeight="1" x14ac:dyDescent="0.25">
      <c r="A12" s="21" t="s">
        <v>53</v>
      </c>
      <c r="B12" s="13" t="s">
        <v>9</v>
      </c>
      <c r="C12" s="14"/>
      <c r="D12" s="15"/>
      <c r="E12" s="16">
        <f>IF('Instructor Settings'!$E$6="","",'Instructor Settings'!$E$6)</f>
        <v>14</v>
      </c>
      <c r="F12" s="26"/>
      <c r="G12" s="16"/>
      <c r="H12" s="27"/>
      <c r="I12" s="18" t="str">
        <f>IF(D12="","",IF(D12&gt;E12,"Check Total","Entered"))</f>
        <v/>
      </c>
      <c r="J12" s="19"/>
    </row>
    <row r="13" spans="1:10" ht="15" customHeight="1" x14ac:dyDescent="0.25">
      <c r="A13" s="22" t="s">
        <v>54</v>
      </c>
      <c r="B13" s="13" t="s">
        <v>10</v>
      </c>
      <c r="C13" s="14"/>
      <c r="D13" s="15"/>
      <c r="E13" s="16">
        <f>IF('Instructor Settings'!$F$6="","",'Instructor Settings'!$F$6)</f>
        <v>9</v>
      </c>
      <c r="F13" s="26"/>
      <c r="G13" s="16"/>
      <c r="H13" s="27"/>
      <c r="I13" s="18" t="str">
        <f>IF(D13="","",IF(D13&gt;E13,"Check Total","Entered"))</f>
        <v/>
      </c>
      <c r="J13" s="19"/>
    </row>
    <row r="14" spans="1:10" ht="15" customHeight="1" x14ac:dyDescent="0.25">
      <c r="A14" s="23" t="s">
        <v>55</v>
      </c>
      <c r="B14" s="13" t="s">
        <v>48</v>
      </c>
      <c r="C14" s="14"/>
      <c r="D14" s="25">
        <f>IF(AND(F17&lt;&gt;"",H17&gt;='Instructor Settings'!$B$8),1,0)</f>
        <v>0</v>
      </c>
      <c r="E14" s="16">
        <v>1</v>
      </c>
      <c r="F14" s="15"/>
      <c r="G14" s="16">
        <f>'Instructor Settings'!$E$12</f>
        <v>35</v>
      </c>
      <c r="H14" s="17" t="str">
        <f>IF(OR(F14="",G14=""),"",F14/G14)</f>
        <v/>
      </c>
      <c r="I14" s="18" t="str">
        <f>IF(H14="","",IF(H14&gt;='Instructor Settings'!$B$8,"Pass","Retry"))</f>
        <v/>
      </c>
      <c r="J14" s="19"/>
    </row>
    <row r="15" spans="1:10" ht="15" customHeight="1" x14ac:dyDescent="0.25">
      <c r="A15" s="21" t="s">
        <v>56</v>
      </c>
      <c r="B15" s="13" t="s">
        <v>9</v>
      </c>
      <c r="C15" s="14"/>
      <c r="D15" s="15"/>
      <c r="E15" s="16" t="str">
        <f>IF('Instructor Settings'!$E$7="","",'Instructor Settings'!$E$7)</f>
        <v/>
      </c>
      <c r="F15" s="26"/>
      <c r="G15" s="16"/>
      <c r="H15" s="27"/>
      <c r="I15" s="18" t="str">
        <f>IF(D15="","",IF(D15&gt;E15,"Check Total","Entered"))</f>
        <v/>
      </c>
      <c r="J15" s="19" t="s">
        <v>57</v>
      </c>
    </row>
    <row r="16" spans="1:10" ht="15" customHeight="1" x14ac:dyDescent="0.25">
      <c r="A16" s="22" t="s">
        <v>58</v>
      </c>
      <c r="B16" s="13" t="s">
        <v>10</v>
      </c>
      <c r="C16" s="14"/>
      <c r="D16" s="15"/>
      <c r="E16" s="16" t="str">
        <f>IF('Instructor Settings'!$F$7="","",'Instructor Settings'!$F$7)</f>
        <v/>
      </c>
      <c r="F16" s="26"/>
      <c r="G16" s="16"/>
      <c r="H16" s="27"/>
      <c r="I16" s="18" t="str">
        <f>IF(D16="","",IF(D16&gt;E16,"Check Total","Entered"))</f>
        <v/>
      </c>
      <c r="J16" s="19" t="s">
        <v>57</v>
      </c>
    </row>
    <row r="17" spans="1:10" ht="15" customHeight="1" x14ac:dyDescent="0.25">
      <c r="A17" s="23" t="s">
        <v>59</v>
      </c>
      <c r="B17" s="13" t="s">
        <v>48</v>
      </c>
      <c r="C17" s="14"/>
      <c r="D17" s="25">
        <f>IF(AND(F17&lt;&gt;"",H17&gt;='Instructor Settings'!$B$8),1,0)</f>
        <v>0</v>
      </c>
      <c r="E17" s="16">
        <v>1</v>
      </c>
      <c r="F17" s="15"/>
      <c r="G17" s="16">
        <f>'Instructor Settings'!$E$12</f>
        <v>35</v>
      </c>
      <c r="H17" s="17" t="str">
        <f>IF(OR(F17="",G17=""),"",F17/G17)</f>
        <v/>
      </c>
      <c r="I17" s="18" t="str">
        <f>IF(H17="","",IF(H17&gt;='Instructor Settings'!$B$8,"Pass","Retry"))</f>
        <v/>
      </c>
      <c r="J17" s="19"/>
    </row>
    <row r="18" spans="1:10" ht="15" customHeight="1" x14ac:dyDescent="0.25">
      <c r="A18" s="20" t="s">
        <v>60</v>
      </c>
      <c r="B18" s="13" t="s">
        <v>43</v>
      </c>
      <c r="C18" s="14"/>
      <c r="D18" s="25">
        <f>IF(C18="Yes",1,0)</f>
        <v>0</v>
      </c>
      <c r="E18" s="16">
        <v>1</v>
      </c>
      <c r="F18" s="26"/>
      <c r="G18" s="16"/>
      <c r="H18" s="27"/>
      <c r="I18" s="18" t="str">
        <f>IF(C18="Yes","Complete","Needed")</f>
        <v>Needed</v>
      </c>
      <c r="J18" s="19"/>
    </row>
    <row r="19" spans="1:10" ht="15" customHeight="1" x14ac:dyDescent="0.25">
      <c r="A19" s="21" t="s">
        <v>61</v>
      </c>
      <c r="B19" s="13" t="s">
        <v>9</v>
      </c>
      <c r="C19" s="14"/>
      <c r="D19" s="15"/>
      <c r="E19" s="16" t="str">
        <f>IF('Instructor Settings'!$E$8="","",'Instructor Settings'!$E$8)</f>
        <v/>
      </c>
      <c r="F19" s="26"/>
      <c r="G19" s="16"/>
      <c r="H19" s="27"/>
      <c r="I19" s="18" t="str">
        <f>IF(D19="","",IF(D19&gt;E19,"Check Total","Entered"))</f>
        <v/>
      </c>
      <c r="J19" s="19" t="s">
        <v>57</v>
      </c>
    </row>
    <row r="20" spans="1:10" ht="15" customHeight="1" x14ac:dyDescent="0.25">
      <c r="A20" s="22" t="s">
        <v>62</v>
      </c>
      <c r="B20" s="13" t="s">
        <v>10</v>
      </c>
      <c r="C20" s="14"/>
      <c r="D20" s="15"/>
      <c r="E20" s="16" t="str">
        <f>IF('Instructor Settings'!$F$8="","",'Instructor Settings'!$F$8)</f>
        <v/>
      </c>
      <c r="F20" s="26"/>
      <c r="G20" s="16"/>
      <c r="H20" s="27"/>
      <c r="I20" s="18" t="str">
        <f>IF(D20="","",IF(D20&gt;E20,"Check Total","Entered"))</f>
        <v/>
      </c>
      <c r="J20" s="19" t="s">
        <v>57</v>
      </c>
    </row>
    <row r="21" spans="1:10" ht="15" customHeight="1" x14ac:dyDescent="0.25">
      <c r="A21" s="23" t="s">
        <v>63</v>
      </c>
      <c r="B21" s="13" t="s">
        <v>48</v>
      </c>
      <c r="C21" s="14"/>
      <c r="D21" s="25">
        <f>IF(AND(F17&lt;&gt;"",H17&gt;='Instructor Settings'!$B$8),1,0)</f>
        <v>0</v>
      </c>
      <c r="E21" s="16">
        <v>1</v>
      </c>
      <c r="F21" s="15"/>
      <c r="G21" s="16">
        <f>'Instructor Settings'!$E$12</f>
        <v>35</v>
      </c>
      <c r="H21" s="17" t="str">
        <f>IF(OR(F21="",G21=""),"",F21/G21)</f>
        <v/>
      </c>
      <c r="I21" s="18" t="str">
        <f>IF(H21="","",IF(H21&gt;='Instructor Settings'!$B$8,"Pass","Retry"))</f>
        <v/>
      </c>
      <c r="J21" s="19"/>
    </row>
    <row r="22" spans="1:10" ht="15" customHeight="1" x14ac:dyDescent="0.25">
      <c r="A22" s="21" t="s">
        <v>64</v>
      </c>
      <c r="B22" s="13" t="s">
        <v>9</v>
      </c>
      <c r="C22" s="14"/>
      <c r="D22" s="15"/>
      <c r="E22" s="16" t="str">
        <f>IF('Instructor Settings'!$E$9="","",'Instructor Settings'!$E$9)</f>
        <v/>
      </c>
      <c r="F22" s="26"/>
      <c r="G22" s="16"/>
      <c r="H22" s="27"/>
      <c r="I22" s="18" t="str">
        <f>IF(D22="","",IF(D22&gt;E22,"Check Total","Entered"))</f>
        <v/>
      </c>
      <c r="J22" s="19" t="s">
        <v>57</v>
      </c>
    </row>
    <row r="23" spans="1:10" ht="15" customHeight="1" x14ac:dyDescent="0.25">
      <c r="A23" s="22" t="s">
        <v>65</v>
      </c>
      <c r="B23" s="13" t="s">
        <v>10</v>
      </c>
      <c r="C23" s="14"/>
      <c r="D23" s="15"/>
      <c r="E23" s="16" t="str">
        <f>IF('Instructor Settings'!$F$9="","",'Instructor Settings'!$F$9)</f>
        <v/>
      </c>
      <c r="F23" s="26"/>
      <c r="G23" s="16"/>
      <c r="H23" s="27"/>
      <c r="I23" s="18" t="str">
        <f>IF(D23="","",IF(D23&gt;E23,"Check Total","Entered"))</f>
        <v/>
      </c>
      <c r="J23" s="19" t="s">
        <v>57</v>
      </c>
    </row>
    <row r="24" spans="1:10" ht="15" customHeight="1" x14ac:dyDescent="0.25">
      <c r="A24" s="23" t="s">
        <v>66</v>
      </c>
      <c r="B24" s="13" t="s">
        <v>48</v>
      </c>
      <c r="C24" s="14"/>
      <c r="D24" s="25">
        <f>IF(AND(F17&lt;&gt;"",H17&gt;='Instructor Settings'!$B$8),1,0)</f>
        <v>0</v>
      </c>
      <c r="E24" s="16">
        <v>1</v>
      </c>
      <c r="F24" s="15"/>
      <c r="G24" s="16">
        <f>'Instructor Settings'!$E$12</f>
        <v>35</v>
      </c>
      <c r="H24" s="17" t="str">
        <f>IF(OR(F24="",G24=""),"",F24/G24)</f>
        <v/>
      </c>
      <c r="I24" s="18" t="str">
        <f>IF(H24="","",IF(H24&gt;='Instructor Settings'!$B$8,"Pass","Retry"))</f>
        <v/>
      </c>
      <c r="J24" s="19"/>
    </row>
    <row r="25" spans="1:10" ht="15" customHeight="1" x14ac:dyDescent="0.25">
      <c r="A25" s="20" t="s">
        <v>67</v>
      </c>
      <c r="B25" s="13" t="s">
        <v>43</v>
      </c>
      <c r="C25" s="14"/>
      <c r="D25" s="25">
        <f>IF(C25="Yes",1,0)</f>
        <v>0</v>
      </c>
      <c r="E25" s="16">
        <v>1</v>
      </c>
      <c r="F25" s="26"/>
      <c r="G25" s="16"/>
      <c r="H25" s="27"/>
      <c r="I25" s="18" t="str">
        <f>IF(C25="Yes","Complete","Needed")</f>
        <v>Needed</v>
      </c>
      <c r="J25" s="19"/>
    </row>
    <row r="26" spans="1:10" ht="15" customHeight="1" x14ac:dyDescent="0.25">
      <c r="A26" s="21" t="s">
        <v>68</v>
      </c>
      <c r="B26" s="13" t="s">
        <v>9</v>
      </c>
      <c r="C26" s="14"/>
      <c r="D26" s="15"/>
      <c r="E26" s="16" t="str">
        <f>IF('Instructor Settings'!$E$10="","",'Instructor Settings'!$E$10)</f>
        <v/>
      </c>
      <c r="F26" s="26"/>
      <c r="G26" s="16"/>
      <c r="H26" s="27"/>
      <c r="I26" s="18" t="str">
        <f>IF(D26="","",IF(D26&gt;E26,"Check Total","Entered"))</f>
        <v/>
      </c>
      <c r="J26" s="19" t="s">
        <v>57</v>
      </c>
    </row>
    <row r="27" spans="1:10" ht="15" customHeight="1" x14ac:dyDescent="0.25">
      <c r="A27" s="22" t="s">
        <v>69</v>
      </c>
      <c r="B27" s="13" t="s">
        <v>10</v>
      </c>
      <c r="C27" s="14"/>
      <c r="D27" s="15"/>
      <c r="E27" s="16" t="str">
        <f>IF('Instructor Settings'!$F$10="","",'Instructor Settings'!$F$10)</f>
        <v/>
      </c>
      <c r="F27" s="26"/>
      <c r="G27" s="16"/>
      <c r="H27" s="27"/>
      <c r="I27" s="18" t="str">
        <f>IF(D27="","",IF(D27&gt;E27,"Check Total","Entered"))</f>
        <v/>
      </c>
      <c r="J27" s="19" t="s">
        <v>57</v>
      </c>
    </row>
    <row r="28" spans="1:10" ht="15" customHeight="1" x14ac:dyDescent="0.25">
      <c r="A28" s="23" t="s">
        <v>70</v>
      </c>
      <c r="B28" s="13" t="s">
        <v>48</v>
      </c>
      <c r="C28" s="14"/>
      <c r="D28" s="25">
        <f>IF(AND(F17&lt;&gt;"",H17&gt;='Instructor Settings'!$B$8),1,0)</f>
        <v>0</v>
      </c>
      <c r="E28" s="16">
        <v>1</v>
      </c>
      <c r="F28" s="15"/>
      <c r="G28" s="16">
        <f>'Instructor Settings'!$E$12</f>
        <v>35</v>
      </c>
      <c r="H28" s="17" t="str">
        <f>IF(OR(F28="",G28=""),"",F28/G28)</f>
        <v/>
      </c>
      <c r="I28" s="18" t="str">
        <f>IF(H28="","",IF(H28&gt;='Instructor Settings'!$B$8,"Pass","Retry"))</f>
        <v/>
      </c>
      <c r="J28" s="19"/>
    </row>
    <row r="29" spans="1:10" ht="15" customHeight="1" x14ac:dyDescent="0.25">
      <c r="A29" s="24" t="s">
        <v>20</v>
      </c>
      <c r="B29" s="13" t="s">
        <v>20</v>
      </c>
      <c r="C29" s="14"/>
      <c r="D29" s="25">
        <f>IF(H29&gt;='Instructor Settings'!$B$8,1,0)</f>
        <v>1</v>
      </c>
      <c r="E29" s="16">
        <v>1</v>
      </c>
      <c r="F29" s="15"/>
      <c r="G29" s="16">
        <f>'Instructor Settings'!$B$7</f>
        <v>50</v>
      </c>
      <c r="H29" s="17" t="str">
        <f>IF(OR(F29="",G29=""),"",F29/G29)</f>
        <v/>
      </c>
      <c r="I29" s="18" t="str">
        <f>IF(H29="","",IF(H29&gt;='Instructor Settings'!$B$8,"Pass","Retry"))</f>
        <v/>
      </c>
      <c r="J29" s="19" t="s">
        <v>71</v>
      </c>
    </row>
  </sheetData>
  <conditionalFormatting sqref="I2:I29">
    <cfRule type="expression" dxfId="11" priority="1">
      <formula>I2="Complete"</formula>
    </cfRule>
    <cfRule type="expression" dxfId="10" priority="2">
      <formula>I2="Pass"</formula>
    </cfRule>
    <cfRule type="expression" dxfId="9" priority="3">
      <formula>I2="Passed"</formula>
    </cfRule>
    <cfRule type="expression" dxfId="8" priority="4">
      <formula>I2="Needed"</formula>
    </cfRule>
    <cfRule type="expression" dxfId="7" priority="5">
      <formula>I2="Retry"</formula>
    </cfRule>
    <cfRule type="expression" dxfId="6" priority="6">
      <formula>I2="Entered"</formula>
    </cfRule>
    <cfRule type="expression" dxfId="5" priority="7">
      <formula>I2="Complete"</formula>
    </cfRule>
    <cfRule type="expression" dxfId="4" priority="8">
      <formula>I2="Pass"</formula>
    </cfRule>
    <cfRule type="expression" dxfId="3" priority="9">
      <formula>I2="Entered"</formula>
    </cfRule>
    <cfRule type="expression" dxfId="2" priority="10">
      <formula>I2="Needed"</formula>
    </cfRule>
    <cfRule type="expression" dxfId="1" priority="11">
      <formula>I2="Retry"</formula>
    </cfRule>
    <cfRule type="expression" dxfId="0" priority="12">
      <formula>I2="Passed"</formula>
    </cfRule>
  </conditionalFormatting>
  <dataValidations count="1">
    <dataValidation type="list" sqref="C2:C29" xr:uid="{00000000-0002-0000-0100-000000000000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defaultRowHeight="15" x14ac:dyDescent="0.25"/>
  <cols>
    <col min="1" max="1" width="22" customWidth="1"/>
    <col min="2" max="2" width="80" customWidth="1"/>
  </cols>
  <sheetData>
    <row r="1" spans="1:2" ht="18.75" x14ac:dyDescent="0.3">
      <c r="A1" s="41" t="s">
        <v>72</v>
      </c>
      <c r="B1" s="41"/>
    </row>
    <row r="2" spans="1:2" x14ac:dyDescent="0.25">
      <c r="A2" s="1"/>
      <c r="B2" s="1"/>
    </row>
    <row r="3" spans="1:2" x14ac:dyDescent="0.25">
      <c r="A3" s="34" t="s">
        <v>73</v>
      </c>
      <c r="B3" s="35" t="s">
        <v>74</v>
      </c>
    </row>
    <row r="4" spans="1:2" x14ac:dyDescent="0.25">
      <c r="A4" s="34" t="s">
        <v>75</v>
      </c>
      <c r="B4" s="35" t="s">
        <v>76</v>
      </c>
    </row>
    <row r="5" spans="1:2" x14ac:dyDescent="0.25">
      <c r="A5" s="34" t="s">
        <v>77</v>
      </c>
      <c r="B5" s="35" t="s">
        <v>78</v>
      </c>
    </row>
    <row r="6" spans="1:2" x14ac:dyDescent="0.25">
      <c r="A6" s="34" t="s">
        <v>79</v>
      </c>
      <c r="B6" s="35" t="s">
        <v>80</v>
      </c>
    </row>
    <row r="7" spans="1:2" x14ac:dyDescent="0.25">
      <c r="A7" s="34" t="s">
        <v>7</v>
      </c>
      <c r="B7" s="35" t="s">
        <v>81</v>
      </c>
    </row>
    <row r="8" spans="1:2" x14ac:dyDescent="0.25">
      <c r="A8" s="34" t="s">
        <v>8</v>
      </c>
      <c r="B8" s="35" t="s">
        <v>82</v>
      </c>
    </row>
    <row r="9" spans="1:2" x14ac:dyDescent="0.25">
      <c r="A9" s="34" t="s">
        <v>83</v>
      </c>
      <c r="B9" s="35" t="s">
        <v>84</v>
      </c>
    </row>
    <row r="10" spans="1:2" ht="30" x14ac:dyDescent="0.25">
      <c r="A10" s="34" t="s">
        <v>48</v>
      </c>
      <c r="B10" s="35" t="s">
        <v>85</v>
      </c>
    </row>
    <row r="11" spans="1:2" x14ac:dyDescent="0.25">
      <c r="A11" s="34" t="s">
        <v>20</v>
      </c>
      <c r="B11" s="35" t="s">
        <v>86</v>
      </c>
    </row>
    <row r="12" spans="1:2" x14ac:dyDescent="0.25">
      <c r="A12" s="36" t="s">
        <v>87</v>
      </c>
      <c r="B12" s="37" t="s">
        <v>88</v>
      </c>
    </row>
    <row r="13" spans="1:2" x14ac:dyDescent="0.25">
      <c r="A13" s="34" t="s">
        <v>89</v>
      </c>
      <c r="B13" s="35" t="s">
        <v>90</v>
      </c>
    </row>
    <row r="14" spans="1:2" x14ac:dyDescent="0.25">
      <c r="A14" s="2"/>
      <c r="B14" s="1"/>
    </row>
    <row r="15" spans="1:2" x14ac:dyDescent="0.25">
      <c r="A15" s="3"/>
      <c r="B15" s="1"/>
    </row>
    <row r="16" spans="1:2" x14ac:dyDescent="0.25">
      <c r="A16" s="4"/>
      <c r="B16" s="1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workbookViewId="0"/>
  </sheetViews>
  <sheetFormatPr defaultRowHeight="15" x14ac:dyDescent="0.25"/>
  <cols>
    <col min="1" max="1" width="32" customWidth="1"/>
    <col min="2" max="2" width="14" customWidth="1"/>
    <col min="4" max="4" width="10" customWidth="1"/>
    <col min="5" max="6" width="22" customWidth="1"/>
  </cols>
  <sheetData>
    <row r="1" spans="1:6" ht="18.75" x14ac:dyDescent="0.25">
      <c r="A1" s="42" t="s">
        <v>91</v>
      </c>
      <c r="B1" s="42"/>
      <c r="C1" s="42"/>
      <c r="D1" s="42"/>
      <c r="E1" s="42"/>
      <c r="F1" s="42"/>
    </row>
    <row r="2" spans="1:6" x14ac:dyDescent="0.25">
      <c r="A2" s="5"/>
      <c r="B2" s="5"/>
      <c r="C2" s="5"/>
      <c r="D2" s="5"/>
      <c r="E2" s="5"/>
      <c r="F2" s="5"/>
    </row>
    <row r="3" spans="1:6" x14ac:dyDescent="0.25">
      <c r="A3" s="6" t="s">
        <v>92</v>
      </c>
      <c r="B3" s="6" t="s">
        <v>93</v>
      </c>
      <c r="C3" s="5"/>
      <c r="D3" s="6" t="s">
        <v>94</v>
      </c>
      <c r="E3" s="6" t="s">
        <v>95</v>
      </c>
      <c r="F3" s="6" t="s">
        <v>96</v>
      </c>
    </row>
    <row r="4" spans="1:6" x14ac:dyDescent="0.25">
      <c r="A4" s="7" t="s">
        <v>97</v>
      </c>
      <c r="B4" s="8">
        <v>20</v>
      </c>
      <c r="C4" s="5"/>
      <c r="D4" s="9">
        <v>1</v>
      </c>
      <c r="E4" s="8">
        <v>13</v>
      </c>
      <c r="F4" s="8">
        <v>14</v>
      </c>
    </row>
    <row r="5" spans="1:6" x14ac:dyDescent="0.25">
      <c r="A5" s="7" t="s">
        <v>98</v>
      </c>
      <c r="B5" s="8">
        <v>5</v>
      </c>
      <c r="C5" s="5"/>
      <c r="D5" s="9">
        <v>2</v>
      </c>
      <c r="E5" s="8">
        <v>10</v>
      </c>
      <c r="F5" s="8">
        <v>9</v>
      </c>
    </row>
    <row r="6" spans="1:6" x14ac:dyDescent="0.25">
      <c r="A6" s="7" t="s">
        <v>99</v>
      </c>
      <c r="B6" s="8">
        <v>7</v>
      </c>
      <c r="C6" s="5"/>
      <c r="D6" s="9">
        <v>3</v>
      </c>
      <c r="E6" s="8">
        <v>14</v>
      </c>
      <c r="F6" s="8">
        <v>9</v>
      </c>
    </row>
    <row r="7" spans="1:6" x14ac:dyDescent="0.25">
      <c r="A7" s="7" t="s">
        <v>100</v>
      </c>
      <c r="B7" s="8">
        <v>50</v>
      </c>
      <c r="C7" s="5"/>
      <c r="D7" s="9">
        <v>4</v>
      </c>
      <c r="E7" s="8"/>
      <c r="F7" s="8"/>
    </row>
    <row r="8" spans="1:6" x14ac:dyDescent="0.25">
      <c r="A8" s="7" t="s">
        <v>101</v>
      </c>
      <c r="B8" s="10">
        <v>0.7</v>
      </c>
      <c r="C8" s="5"/>
      <c r="D8" s="9">
        <v>5</v>
      </c>
      <c r="E8" s="8"/>
      <c r="F8" s="8"/>
    </row>
    <row r="9" spans="1:6" x14ac:dyDescent="0.25">
      <c r="A9" s="7"/>
      <c r="B9" s="7"/>
      <c r="C9" s="5"/>
      <c r="D9" s="9">
        <v>6</v>
      </c>
      <c r="E9" s="8"/>
      <c r="F9" s="8"/>
    </row>
    <row r="10" spans="1:6" x14ac:dyDescent="0.25">
      <c r="A10" s="7" t="s">
        <v>102</v>
      </c>
      <c r="B10" s="8">
        <v>25</v>
      </c>
      <c r="C10" s="5"/>
      <c r="D10" s="9">
        <v>7</v>
      </c>
      <c r="E10" s="8"/>
      <c r="F10" s="8"/>
    </row>
    <row r="11" spans="1:6" x14ac:dyDescent="0.25">
      <c r="A11" s="7" t="s">
        <v>103</v>
      </c>
      <c r="B11" s="8">
        <v>20</v>
      </c>
      <c r="C11" s="5"/>
      <c r="D11" s="5"/>
      <c r="E11" s="5"/>
      <c r="F11" s="5"/>
    </row>
    <row r="12" spans="1:6" x14ac:dyDescent="0.25">
      <c r="A12" s="7" t="s">
        <v>104</v>
      </c>
      <c r="B12" s="8">
        <v>15</v>
      </c>
      <c r="C12" s="5"/>
      <c r="D12" s="7" t="s">
        <v>105</v>
      </c>
      <c r="E12" s="8">
        <v>35</v>
      </c>
      <c r="F12" s="5"/>
    </row>
    <row r="13" spans="1:6" x14ac:dyDescent="0.25">
      <c r="A13" s="7" t="s">
        <v>106</v>
      </c>
      <c r="B13" s="8">
        <v>10</v>
      </c>
      <c r="C13" s="5"/>
      <c r="D13" s="7" t="s">
        <v>100</v>
      </c>
      <c r="E13" s="9">
        <f>B7</f>
        <v>50</v>
      </c>
      <c r="F13" s="5"/>
    </row>
    <row r="14" spans="1:6" x14ac:dyDescent="0.25">
      <c r="A14" s="7"/>
      <c r="B14" s="7"/>
      <c r="C14" s="5"/>
      <c r="D14" s="5"/>
      <c r="E14" s="5"/>
      <c r="F14" s="5"/>
    </row>
    <row r="15" spans="1:6" x14ac:dyDescent="0.25">
      <c r="A15" s="7" t="s">
        <v>107</v>
      </c>
      <c r="B15" s="8">
        <v>25</v>
      </c>
      <c r="C15" s="5"/>
      <c r="D15" s="5"/>
      <c r="E15" s="5"/>
      <c r="F15" s="5"/>
    </row>
    <row r="16" spans="1:6" x14ac:dyDescent="0.25">
      <c r="A16" s="7" t="s">
        <v>108</v>
      </c>
      <c r="B16" s="8">
        <v>20</v>
      </c>
      <c r="C16" s="5"/>
      <c r="D16" s="5"/>
      <c r="E16" s="5"/>
      <c r="F16" s="5"/>
    </row>
    <row r="17" spans="1:6" x14ac:dyDescent="0.25">
      <c r="A17" s="7" t="s">
        <v>109</v>
      </c>
      <c r="B17" s="8">
        <v>15</v>
      </c>
      <c r="C17" s="5"/>
      <c r="D17" s="5"/>
      <c r="E17" s="5"/>
      <c r="F17" s="5"/>
    </row>
    <row r="18" spans="1:6" x14ac:dyDescent="0.25">
      <c r="A18" s="7" t="s">
        <v>110</v>
      </c>
      <c r="B18" s="8">
        <v>10</v>
      </c>
      <c r="C18" s="5"/>
      <c r="D18" s="5"/>
      <c r="E18" s="5"/>
      <c r="F18" s="5"/>
    </row>
    <row r="19" spans="1:6" x14ac:dyDescent="0.25">
      <c r="A19" s="7"/>
      <c r="B19" s="7"/>
      <c r="C19" s="5"/>
      <c r="D19" s="5"/>
      <c r="E19" s="5"/>
      <c r="F19" s="5"/>
    </row>
    <row r="20" spans="1:6" x14ac:dyDescent="0.25">
      <c r="A20" s="7" t="s">
        <v>111</v>
      </c>
      <c r="B20" s="8">
        <v>5</v>
      </c>
      <c r="C20" s="5"/>
      <c r="D20" s="5"/>
      <c r="E20" s="5"/>
      <c r="F20" s="5"/>
    </row>
    <row r="21" spans="1:6" x14ac:dyDescent="0.25">
      <c r="A21" s="7" t="s">
        <v>112</v>
      </c>
      <c r="B21" s="8">
        <v>4</v>
      </c>
      <c r="C21" s="5"/>
      <c r="D21" s="5"/>
      <c r="E21" s="5"/>
      <c r="F21" s="5"/>
    </row>
    <row r="22" spans="1:6" x14ac:dyDescent="0.25">
      <c r="A22" s="7" t="s">
        <v>113</v>
      </c>
      <c r="B22" s="8">
        <v>3</v>
      </c>
      <c r="C22" s="5"/>
      <c r="D22" s="5"/>
      <c r="E22" s="5"/>
      <c r="F22" s="5"/>
    </row>
    <row r="23" spans="1:6" x14ac:dyDescent="0.25">
      <c r="A23" s="7" t="s">
        <v>114</v>
      </c>
      <c r="B23" s="8">
        <v>2</v>
      </c>
      <c r="C23" s="5"/>
      <c r="D23" s="5"/>
      <c r="E23" s="5"/>
      <c r="F23" s="5"/>
    </row>
    <row r="24" spans="1:6" x14ac:dyDescent="0.25">
      <c r="A24" s="7"/>
      <c r="B24" s="7"/>
      <c r="C24" s="5"/>
      <c r="D24" s="5"/>
      <c r="E24" s="5"/>
      <c r="F24" s="5"/>
    </row>
    <row r="25" spans="1:6" x14ac:dyDescent="0.25">
      <c r="A25" s="7" t="s">
        <v>115</v>
      </c>
      <c r="B25" s="8">
        <v>7</v>
      </c>
      <c r="C25" s="5"/>
      <c r="D25" s="5"/>
      <c r="E25" s="5"/>
      <c r="F25" s="5"/>
    </row>
    <row r="26" spans="1:6" x14ac:dyDescent="0.25">
      <c r="A26" s="7" t="s">
        <v>116</v>
      </c>
      <c r="B26" s="8">
        <v>6</v>
      </c>
      <c r="C26" s="5"/>
      <c r="D26" s="5"/>
      <c r="E26" s="5"/>
      <c r="F26" s="5"/>
    </row>
    <row r="27" spans="1:6" x14ac:dyDescent="0.25">
      <c r="A27" s="7" t="s">
        <v>117</v>
      </c>
      <c r="B27" s="8">
        <v>5</v>
      </c>
      <c r="C27" s="5"/>
      <c r="D27" s="5"/>
      <c r="E27" s="5"/>
      <c r="F27" s="5"/>
    </row>
    <row r="28" spans="1:6" x14ac:dyDescent="0.25">
      <c r="A28" s="7" t="s">
        <v>118</v>
      </c>
      <c r="B28" s="8">
        <v>4</v>
      </c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  <row r="31" spans="1:6" x14ac:dyDescent="0.25">
      <c r="A31" s="43" t="s">
        <v>39</v>
      </c>
      <c r="B31" s="43"/>
      <c r="C31" s="43"/>
      <c r="D31" s="43"/>
      <c r="E31" s="43"/>
      <c r="F31" s="43"/>
    </row>
    <row r="32" spans="1:6" x14ac:dyDescent="0.25">
      <c r="A32" s="44" t="s">
        <v>119</v>
      </c>
      <c r="B32" s="44"/>
      <c r="C32" s="44"/>
      <c r="D32" s="44"/>
      <c r="E32" s="44"/>
      <c r="F32" s="44"/>
    </row>
    <row r="33" spans="1:6" x14ac:dyDescent="0.25">
      <c r="A33" s="44" t="s">
        <v>120</v>
      </c>
      <c r="B33" s="44"/>
      <c r="C33" s="44"/>
      <c r="D33" s="44"/>
      <c r="E33" s="44"/>
      <c r="F33" s="44"/>
    </row>
    <row r="34" spans="1:6" x14ac:dyDescent="0.25">
      <c r="A34" s="44" t="s">
        <v>121</v>
      </c>
      <c r="B34" s="44"/>
      <c r="C34" s="44"/>
      <c r="D34" s="44"/>
      <c r="E34" s="44"/>
      <c r="F34" s="44"/>
    </row>
    <row r="35" spans="1:6" x14ac:dyDescent="0.25">
      <c r="A35" s="5"/>
      <c r="B35" s="5"/>
      <c r="C35" s="5"/>
      <c r="D35" s="5"/>
      <c r="E35" s="5"/>
      <c r="F35" s="5"/>
    </row>
  </sheetData>
  <mergeCells count="5">
    <mergeCell ref="A1:F1"/>
    <mergeCell ref="A31:F31"/>
    <mergeCell ref="A32:F32"/>
    <mergeCell ref="A33:F33"/>
    <mergeCell ref="A34:F3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fa7a1fb-3f48-4fd9-bce0-6283cfafd648}" enabled="1" method="Standard" siteId="{fab6beb5-3604-42df-bddc-f4e9ddd654d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Assignment Tracker</vt:lpstr>
      <vt:lpstr>Instructions</vt:lpstr>
      <vt:lpstr>Instructor 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Crawford</cp:lastModifiedBy>
  <dcterms:modified xsi:type="dcterms:W3CDTF">2026-06-25T23:54:45Z</dcterms:modified>
</cp:coreProperties>
</file>